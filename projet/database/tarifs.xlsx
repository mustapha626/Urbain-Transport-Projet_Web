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E65" i="1" l="1"/>
  <c r="E63" i="1"/>
  <c r="E61" i="1"/>
  <c r="E59" i="1"/>
  <c r="E70" i="1"/>
  <c r="E54" i="1"/>
  <c r="E49" i="1"/>
  <c r="E47" i="1"/>
  <c r="E45" i="1"/>
  <c r="E43" i="1"/>
  <c r="E38" i="1"/>
  <c r="E36" i="1"/>
  <c r="E34" i="1"/>
  <c r="E32" i="1"/>
  <c r="E27" i="1"/>
  <c r="E22" i="1"/>
  <c r="E20" i="1"/>
  <c r="E18" i="1"/>
  <c r="E16" i="1"/>
  <c r="E11" i="1"/>
  <c r="E6" i="1"/>
</calcChain>
</file>

<file path=xl/sharedStrings.xml><?xml version="1.0" encoding="utf-8"?>
<sst xmlns="http://schemas.openxmlformats.org/spreadsheetml/2006/main" count="421" uniqueCount="104">
  <si>
    <t>age</t>
  </si>
  <si>
    <t>duree</t>
  </si>
  <si>
    <t>profil</t>
  </si>
  <si>
    <t>qf</t>
  </si>
  <si>
    <t>tarif</t>
  </si>
  <si>
    <t>description</t>
  </si>
  <si>
    <t>Une heure (1h)</t>
  </si>
  <si>
    <t>NULL</t>
  </si>
  <si>
    <t>Deux heures (2h)</t>
  </si>
  <si>
    <t xml:space="preserve">Une journée </t>
  </si>
  <si>
    <t>Un mois</t>
  </si>
  <si>
    <t>Une année</t>
  </si>
  <si>
    <t>Handicap</t>
  </si>
  <si>
    <t>Scolaire/Etudiant</t>
  </si>
  <si>
    <t>Tout public</t>
  </si>
  <si>
    <t>image</t>
  </si>
  <si>
    <t>Enfant&lt;br&gt;(moins de 18ans)</t>
  </si>
  <si>
    <t>Jeune&lt;br&gt;(18 ans - 26 ans)</t>
  </si>
  <si>
    <t>Actif&lt;br&gt;(27 ans - 60 ans)</t>
  </si>
  <si>
    <t>Senior&lt;br&gt;(Plus de 60 ans)</t>
  </si>
  <si>
    <t>&lt;h1&gt;Pass Enfant moins de 18 ans&lt;/h1&gt;&lt;p&gt; Idéal pour les déplacements ponctuels des enfants agés moins de 18 ans, valable pour une heure.&lt;/p&gt;&lt;ul&gt;&lt;li&gt;A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</si>
  <si>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Enfant moins de 18 ans&lt;/h1&gt;&lt;p&gt; Idéal pour les déplacements ponctuels des enfants agés moins de 18 ans, valable pour deux heures.&lt;/p&gt;&lt;ul&gt;&lt;li&gt;A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</si>
  <si>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Enfant moins de 18 ans&lt;/h1&gt;&lt;p&gt; Idéal pour les déplacements ponctuels des enfants agés moins de 18 ans en situation handicap, valable pour une heure.&lt;/p&gt;&lt;ul&gt;&lt;li&gt;A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</si>
  <si>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Enfant moins de 18 ans&lt;/h1&gt;&lt;p&gt; Idéal pour les déplacements ponctuels des enfants agés moins de 18 ans en situation handicap, valable pour deux heures.&lt;/p&gt;&lt;ul&gt;&lt;li&gt;A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</si>
  <si>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Jeune&lt;/h1&gt;&lt;p&gt; Idéal pour les déplacements ponctuels des jeunes scolarisés ou étudiants agés entre 18 et 26 ans, valable pour une heure.&lt;/p&gt;&lt;ul&gt;&lt;li&gt;A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</si>
  <si>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Jeune&lt;/h1&gt;&lt;p&gt; Idéal pour les déplacements ponctuels des jeunes scolarisés ou étudiants agés entre 18 et 26 ans, valable pour deux heures.&lt;/p&gt;&lt;ul&gt;&lt;li&gt;A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</si>
  <si>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Jeune&lt;/h1&gt;&lt;p&gt; Idéal pour les déplacements ponctuels des jeunes scolarisés ou étudiants agés entre 18 et 26 ans, valable jusqu'à la fin de journée.&lt;/p&gt;&lt;ul&gt;&lt;li&gt;A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</si>
  <si>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Enfant moins de 18 ans&lt;/h1&gt;&lt;p&gt; Idéal pour les déplacements ponctuels des enfants agés moins de 18 ans, valable jusqu'à la fin de journée.&lt;/p&gt;&lt;ul&gt;&lt;li&gt;A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</si>
  <si>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Enfant moins de 18 ans&lt;/h1&gt;&lt;p&gt; Idéal pour les déplacements ponctuels des enfants agés moins de 18 ans en situation handicap, valable jusqu'à la fin de journée.&lt;/p&gt;&lt;ul&gt;&lt;li&gt;A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</si>
  <si>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Jeune&lt;/h1&gt;&lt;p&gt; Idéal pour les déplacements ponctuels des jeunes agés entre 18 et 26 ans en situation handicap, valable pour une heure.&lt;/p&gt;&lt;ul&gt;&lt;li&gt;A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</si>
  <si>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Jeune&lt;/h1&gt;&lt;p&gt; Idéal pour les déplacements ponctuels des jeunes agés entre 18 et 26 ans en situation handicap, valable pour deux heures.&lt;/p&gt;&lt;ul&gt;&lt;li&gt;A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</si>
  <si>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Jeune&lt;/h1&gt;&lt;p&gt; Idéal pour les déplacements ponctuels des jeunes agés entre 18 et 26 ans en situation handicap, valable jusqu'à la fin de journée.&lt;/p&gt;&lt;ul&gt;&lt;li&gt;A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</si>
  <si>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Jeune&lt;/h1&gt;&lt;p&gt; Idéal pour les déplacements ponctuels des jeunes agés entre 18 et 26 ans, valable pour une heure.&lt;/p&gt;&lt;ul&gt;&lt;li&gt;A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</si>
  <si>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Jeune&lt;/h1&gt;&lt;p&gt; Idéal pour les déplacements ponctuels des jeunes agés entre 18 et 26 ans, valable pour deux heures.&lt;/p&gt;&lt;ul&gt;&lt;li&gt;A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</si>
  <si>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Jeune&lt;/h1&gt;&lt;p&gt; Idéal pour les déplacements ponctuels des jeunes agés entre 18 et 26 ans, valable jusqu'à la fin de journée.&lt;/p&gt;&lt;ul&gt;&lt;li&gt;A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</si>
  <si>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Liberté&lt;/h1&gt;&lt;p&gt; Idéal pour les déplacements ponctuels des personnes agées entre 27 et 60 ans, valable pour une heure.&lt;/p&gt;&lt;ul&gt;&lt;li&gt;A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</si>
  <si>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Liberté&lt;/h1&gt;&lt;p&gt; Idéal pour les déplacements ponctuels des personnes agées entre 27 et 60 ans, valable pour deux heures.&lt;/p&gt;&lt;ul&gt;&lt;li&gt;A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</si>
  <si>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Liberté&lt;/h1&gt;&lt;p&gt; Idéal pour les déplacements ponctuels des personnes agées entre 27 et 60 ans, valable jusqu'à la fin de journée.&lt;/p&gt;&lt;ul&gt;&lt;li&gt;A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</si>
  <si>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Esprit&lt;/h1&gt;&lt;p&gt; Idéal pour les déplacements ponctuels des personnes agés plus de 60 ans, valable pour deux heures.&lt;/p&gt;&lt;ul&gt;&lt;li&gt;A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</si>
  <si>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Esprit&lt;/h1&gt;&lt;p&gt; Idéal pour les déplacements ponctuels des personnes agées plus 60 ans en situation handicap, valable jusqu'à la fin de journée.&lt;/p&gt;&lt;ul&gt;&lt;li&gt;A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</si>
  <si>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Esprit&lt;/h1&gt;&lt;p&gt; Idéal pour les déplacements ponctuels des personnes agées plus de 60 ans en situation handicap, valable pour deux heures.&lt;/p&gt;&lt;ul&gt;&lt;li&gt;A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</si>
  <si>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Esprit&lt;/h1&gt;&lt;p&gt; Idéal pour les déplacements ponctuels des personnes agées plus 60 ans en situation handicap, valable pour une heure.&lt;/p&gt;&lt;ul&gt;&lt;li&gt;A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</si>
  <si>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Esprit&lt;/h1&gt;&lt;p&gt; Idéal pour les déplacements ponctuels des personnes agées plus de 60 ans, valable jusqu'à la fin de journée.&lt;/p&gt;&lt;ul&gt;&lt;li&gt;A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</si>
  <si>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Esprit&lt;/h1&gt;&lt;p&gt; Idéal pour les déplacements ponctuels des personnes agés plus 60 ans, valable pour une heure.&lt;/p&gt;&lt;ul&gt;&lt;li&gt;A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</si>
  <si>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Liberté&lt;/h1&gt;&lt;p&gt; Idéal pour les déplacements ponctuels des personnes agées entre 27 et 60 ans en situation handicap, valable jusqu'à la fin de journée.&lt;/p&gt;&lt;ul&gt;&lt;li&gt;A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</si>
  <si>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Liberté&lt;/h1&gt;&lt;p&gt; Idéal pour les déplacements ponctuels des personnes agées entre 27 et 60 ans en situation handicap, valable pour deux heures.&lt;/p&gt;&lt;ul&gt;&lt;li&gt;A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</si>
  <si>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&lt;h1&gt;Pass Liberté&lt;/h1&gt;&lt;p&gt; Idéal pour les déplacements ponctuels des personnes agées entre 27 et 60 ans en situation handicap, valable pour une heure.&lt;/p&gt;&lt;ul&gt;&lt;li&gt;A valider à chaque montée sans contact.&lt;/li&gt;&lt;li&gt;Achat disponible à bord des bus en espèce uniquement ou dans nos points de vente.&lt;/li&gt;&lt;li&gt;Tickets rechargeables sans contact (10 centimes pour l'achat).&lt;/li&gt; &lt;/ul&gt;</t>
  </si>
  <si>
    <t>Images/enfantS.jpg</t>
  </si>
  <si>
    <t>Images/enfantH.jpg</t>
  </si>
  <si>
    <t>Images/jeuneE.jpg</t>
  </si>
  <si>
    <t>Images/jeuneH.png</t>
  </si>
  <si>
    <t>Images/jeuneT.webp</t>
  </si>
  <si>
    <t>Images/actifT.jpg</t>
  </si>
  <si>
    <t>Images/actifH.jpg</t>
  </si>
  <si>
    <t>Images/seniorT.jpg</t>
  </si>
  <si>
    <t>Images/seniorH.jpg</t>
  </si>
  <si>
    <t>&lt;h1&gt;Abonnement Enfant moin de 18 ans&lt;/h1&gt;&lt;p&gt;Abonnement mensuel valable pour une seule personne agée de moins de 18 ans,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</si>
  <si>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Enfant moin de 18 ans&lt;/h1&gt;&lt;p&gt;Abonnement annuel valable pour une seule personne agée de moins de 18 ans,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</si>
  <si>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Enfant moin de 18 ans&lt;/h1&gt;&lt;p&gt;Abonnement mensuel valable pour une seule personne agée de moins de 18 ans en situation handicap,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</si>
  <si>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Enfant moin de 18 ans&lt;/h1&gt;&lt;p&gt;Abonnement annuel valable pour une seule personne agée de moins de 18 ans en situation handicap,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</si>
  <si>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Moins de 375 £</t>
  </si>
  <si>
    <t>&lt;h1&gt;Abonnement Jeune&lt;/h1&gt;&lt;p&gt;Abonnement mensuel valable pour une seule personne scolarisée ou étudiante agée entre 18 et 26 ans dont le quotient familiale est strictement inférieur à 375 £,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</si>
  <si>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annuel valable pour une seule personne scolarisée ou étudiante agée entre 18 et 26 ans dont le quotient familiale est strictement inférieur à 375 £,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</si>
  <si>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Plus de 756 £</t>
  </si>
  <si>
    <t>&lt;h1&gt;Abonnement Jeune&lt;/h1&gt;&lt;p&gt;Abonnement mensuel valable pour une seule personne scolarisée ou étudiante agée entre 18 et 26 ans dont le quotient familiale est supérieur ou égal à 756 £,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</si>
  <si>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annuel valable pour une seule personne scolarisée ou étudiante agée entre 18 et 26 ans dont le quotient familiale est supérieur ou égal à 756 £,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</si>
  <si>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mensuel valable pour une seule personne agée entre 18 et 26 ans en situation handicap,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</si>
  <si>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annuel valable pour une seule personne agée entre 18 et 26 ans en situation handicap, du début jusqu'à la fin 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</si>
  <si>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mensuel valable pour une seule personne agée entre 18 et 26 ans dont le quotient familiale est strictement inférieur à 375 £,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</si>
  <si>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annuel valable pour une seule personne agée entre 18 et 26 ans dont le quotient familiale est strictement inférieur à 375 £,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</si>
  <si>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mensuel valable pour une seule personne agée entre 18 et 26 ans dont le quotient familiale est supérieur ou égal à 756 £,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</si>
  <si>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annuel valable pour une seule personne agée entre 18 et 26 ans dont le quotient familiale est supérieur ou égal à 756 £,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</si>
  <si>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Liberté&lt;/h1&gt;&lt;p&gt;Abonnement mensuel valable pour une seule personne agée entre 27 et 60 ans dont le quotient familiale est strictement inférieur à 375 £,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</si>
  <si>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Liberté&lt;/h1&gt;&lt;p&gt;Abonnement annuel valable pour une seule personne agée entre 27 et 60 ans dont le quotient familiale est strictement inférieur à 375 £,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</si>
  <si>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Liberté&lt;/h1&gt;&lt;p&gt;Abonnement mensuel valable pour une seule personne agée entre 27 et 60 ans dont le quotient familiale est supérieur ou égal à 756 £,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</si>
  <si>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Liberté&lt;/h1&gt;&lt;p&gt;Abonnement annuel valable pour une seule personne agée entre 27 et 60 ans dont le quotient familiale est supérieur ou égal à 756 £,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</si>
  <si>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Liberté&lt;/h1&gt;&lt;p&gt;Abonnement mensuel valable pour une seule personne agée entre 27 et 60 ans en situation handicap,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</si>
  <si>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Liberté&lt;/h1&gt;&lt;p&gt;Abonnement annuel valable pour une seule personne agée entre 27 et 60 ans en situation handicap, du début jusqu'à la fin 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</si>
  <si>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Esprit&lt;/h1&gt;&lt;p&gt;Abonnement mensuel valable pour une seule personne agée plus de 60 ans dont le quotient familiale est strictement inférieur à 375 £,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</si>
  <si>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Esprit&lt;/h1&gt;&lt;p&gt;Abonnement annuel valable pour une seule personne agée plus de 60 ans dont le quotient familiale est strictement inférieur à 375 £,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</si>
  <si>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Esprit&lt;/h1&gt;&lt;p&gt;Abonnement mensuel valable pour une seule personne agée plus de 60 ans dont le quotient familiale est supérieur ou égal à 756 £,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</si>
  <si>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Esprit&lt;/h1&gt;&lt;p&gt;Abonnement annuel valable pour une seule personne agée plus de 60 ans dont le quotient familiale est supérieur ou égal à 756 £,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</si>
  <si>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Esprit&lt;/h1&gt;&lt;p&gt;Abonnement mensuel valable pour une seule personne agée plus de 60 ans en situation handicap,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</si>
  <si>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Esprit&lt;/h1&gt;&lt;p&gt;Abonnement annuel valable pour une seule personne agée plus 60 ans en situation handicap, du début jusqu'à la fin 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</si>
  <si>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Entre 375 £ et 515 £</t>
  </si>
  <si>
    <t>&lt;h1&gt;Abonnement Jeune&lt;/h1&gt;&lt;p&gt;Abonnement mensuel valable pour une seule personne scolarisée ou étudiante agée entre 18 et 26 ans dont le quotient familiale est compris entre 375 £ et 515 £ inclus,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</si>
  <si>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annuel valable pour une seule personne scolarisée ou étudiante agée entre 18 et 26 ans dont le quotient familiale est entre 375 £ et 515 £ inclus,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</si>
  <si>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mensuel valable pour une seule personne agée entre 18 et 26 ans dont le quotient familiale est compris entre 375 £ et 515 £ inclus,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</si>
  <si>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annuel valable pour une seule personne agée entre 18 et 26 ans dont le quotient familiale est entre 375 £ et 515 £ inclus,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</si>
  <si>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Liberté&lt;/h1&gt;&lt;p&gt;Abonnement mensuel valable pour une seule personne agée entre 27 et 60 ans dont le quotient familiale est compris entre 375 £ et 515 £ inclus,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</si>
  <si>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Liberté&lt;/h1&gt;&lt;p&gt;Abonnement annuel valable pour une seule personne agée entre 27 et 60 ans dont le quotient familiale est entre 375 £ et 515 £ inclus,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</si>
  <si>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Esprit&lt;/h1&gt;&lt;p&gt;Abonnement mensuel valable pour une seule personne agée plus de 60 ans dont le quotient familiale est compris entre 375 £ et 515 £ inclus,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</si>
  <si>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Esprit&lt;/h1&gt;&lt;p&gt;Abonnement annuel valable pour une seule personne agée plus de 60 ans dont le quotient familiale est entre 375 £ et 515 £ inclus,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</si>
  <si>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Entre 515 £ et 756 £</t>
  </si>
  <si>
    <t>&lt;h1&gt;Abonnement Jeune&lt;/h1&gt;&lt;p&gt;Abonnement mensuel valable pour une seule personne scolarisée ou étudiante agée entre 18 et 26 ans dont le quotient familiale est compris entre 515 £ et 756 £,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</si>
  <si>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annuel valable pour une seule personne scolarisée ou étudiante agée entre 18 et 26 ans dont le quotient familiale est entre 515 £ et 756 £,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</si>
  <si>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mensuel valable pour une seule personne agée entre 18 et 26 ans dont le quotient familiale est compris entre 515 £ et 756 £,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</si>
  <si>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Jeune&lt;/h1&gt;&lt;p&gt;Abonnement annuel valable pour une seule personne agée entre 18 et 26 ans dont le quotient familiale est entre 515 £ et 756 £,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</si>
  <si>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Liberté&lt;/h1&gt;&lt;p&gt;Abonnement mensuel valable pour une seule personne agée entre 27 et 60 ans dont le quotient familiale est compris entre 515 £ et 756 £,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</si>
  <si>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Liberté&lt;/h1&gt;&lt;p&gt;Abonnement annuel valable pour une seule personne agée entre 27 et 60 ans dont le quotient familiale est entre 515 £ et 756 £,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</si>
  <si>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Esprit&lt;/h1&gt;&lt;p&gt;Abonnement mensuel valable pour une seule personne agée plus de 60 ans dont le quotient familiale est compris entre 515 £ et 756 £, du premier au dernier jour du mois.&lt;/p&gt;&lt;ul&gt;&lt;li&gt;A valider à chaque montée sans contact.&lt;/li&gt;&lt;li&gt;Achat disponible uniquement dans nos points de vente.&lt;/li&gt;&lt;li&gt;Titres rechargeables sans contact (2 £ de création).&lt;/li&gt; &lt;/ul&gt;</t>
  </si>
  <si>
    <t>&lt;h1&gt;Abonnement Esprit&lt;/h1&gt;&lt;p&gt;Abonnement annuel valable pour une seule personne agée plus 60 ans dont le quotient familiale est entre 515 £ et 756 £, du début jusqu'à la fin d'année.&lt;/p&gt;&lt;ul&gt;&lt;li&gt;A valider à chaque montée sans contact.&lt;/li&gt;&lt;li&gt;Achat disponible uniquement dans nos points de vente.&lt;/li&gt;&lt;li&gt;Titres rechargeables sans contact (2 £ de création).&lt;/li&gt; &lt;/ul&gt;</t>
  </si>
  <si>
    <t xml:space="preserve">Moins de 375 £ </t>
  </si>
  <si>
    <t>Entre 375 £ et 515  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</si>
</sst>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/>
    </xf>
    <xf numFmtId="2" fontId="0" fillId="2" borderId="0" xfId="0" applyNumberFormat="1" applyFill="1" applyAlignment="1">
      <alignment horizontal="left" vertical="top"/>
    </xf>
    <xf numFmtId="0" fontId="0" fillId="0" borderId="0" xfId="0" applyAlignment="1">
      <alignment horizontal="left" vertical="top"/>
    </xf>
    <xf numFmtId="2" fontId="0" fillId="0" borderId="0" xfId="1" applyNumberFormat="1" applyFont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abSelected="1" topLeftCell="A40" workbookViewId="0">
      <selection activeCell="D44" sqref="D44"/>
    </sheetView>
  </sheetViews>
  <sheetFormatPr baseColWidth="10" defaultColWidth="9.140625" defaultRowHeight="15" x14ac:dyDescent="0.25"/>
  <cols>
    <col min="1" max="1" width="26.140625" customWidth="1"/>
    <col min="2" max="2" width="15.85546875" customWidth="1"/>
    <col min="3" max="3" width="17.42578125" customWidth="1"/>
    <col min="4" max="4" width="20.5703125" customWidth="1"/>
    <col min="5" max="5" width="6.28515625" customWidth="1"/>
    <col min="6" max="6" width="79.5703125" style="7" customWidth="1"/>
    <col min="7" max="7" width="19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6" t="s">
        <v>5</v>
      </c>
      <c r="G1" s="2" t="s">
        <v>15</v>
      </c>
    </row>
    <row r="2" spans="1:7" ht="77.25" customHeight="1" x14ac:dyDescent="0.25">
      <c r="A2" s="4" t="s">
        <v>16</v>
      </c>
      <c r="B2" s="4" t="s">
        <v>6</v>
      </c>
      <c r="C2" s="4" t="s">
        <v>13</v>
      </c>
      <c r="D2" s="4" t="s">
        <v>7</v>
      </c>
      <c r="E2" s="5">
        <v>0.8</v>
      </c>
      <c r="F2" s="1" t="s">
        <v>20</v>
      </c>
      <c r="G2" s="4" t="s">
        <v>47</v>
      </c>
    </row>
    <row r="3" spans="1:7" ht="77.25" customHeight="1" x14ac:dyDescent="0.25">
      <c r="A3" s="4" t="s">
        <v>16</v>
      </c>
      <c r="B3" s="4" t="s">
        <v>8</v>
      </c>
      <c r="C3" s="4" t="s">
        <v>13</v>
      </c>
      <c r="D3" s="4" t="s">
        <v>7</v>
      </c>
      <c r="E3" s="5">
        <v>1.5</v>
      </c>
      <c r="F3" s="1" t="s">
        <v>21</v>
      </c>
      <c r="G3" s="4" t="s">
        <v>47</v>
      </c>
    </row>
    <row r="4" spans="1:7" ht="76.5" customHeight="1" x14ac:dyDescent="0.25">
      <c r="A4" s="4" t="s">
        <v>16</v>
      </c>
      <c r="B4" s="4" t="s">
        <v>9</v>
      </c>
      <c r="C4" s="4" t="s">
        <v>13</v>
      </c>
      <c r="D4" s="4" t="s">
        <v>7</v>
      </c>
      <c r="E4" s="5">
        <v>3.1</v>
      </c>
      <c r="F4" s="1" t="s">
        <v>27</v>
      </c>
      <c r="G4" s="4" t="s">
        <v>47</v>
      </c>
    </row>
    <row r="5" spans="1:7" ht="75" x14ac:dyDescent="0.25">
      <c r="A5" s="4" t="s">
        <v>16</v>
      </c>
      <c r="B5" s="4" t="s">
        <v>10</v>
      </c>
      <c r="C5" s="4" t="s">
        <v>13</v>
      </c>
      <c r="D5" s="4" t="s">
        <v>7</v>
      </c>
      <c r="E5" s="5">
        <v>4.9000000000000004</v>
      </c>
      <c r="F5" s="1" t="s">
        <v>56</v>
      </c>
      <c r="G5" s="4" t="s">
        <v>47</v>
      </c>
    </row>
    <row r="6" spans="1:7" ht="75" x14ac:dyDescent="0.25">
      <c r="A6" s="4" t="s">
        <v>16</v>
      </c>
      <c r="B6" s="4" t="s">
        <v>11</v>
      </c>
      <c r="C6" s="4" t="s">
        <v>13</v>
      </c>
      <c r="D6" s="4" t="s">
        <v>7</v>
      </c>
      <c r="E6" s="5">
        <f>E5*11</f>
        <v>53.900000000000006</v>
      </c>
      <c r="F6" s="1" t="s">
        <v>57</v>
      </c>
      <c r="G6" s="4" t="s">
        <v>47</v>
      </c>
    </row>
    <row r="7" spans="1:7" ht="75" x14ac:dyDescent="0.25">
      <c r="A7" s="4" t="s">
        <v>16</v>
      </c>
      <c r="B7" s="4" t="s">
        <v>6</v>
      </c>
      <c r="C7" s="4" t="s">
        <v>12</v>
      </c>
      <c r="D7" s="4" t="s">
        <v>7</v>
      </c>
      <c r="E7" s="5">
        <v>0.5</v>
      </c>
      <c r="F7" s="1" t="s">
        <v>22</v>
      </c>
      <c r="G7" s="4" t="s">
        <v>47</v>
      </c>
    </row>
    <row r="8" spans="1:7" ht="75" x14ac:dyDescent="0.25">
      <c r="A8" s="4" t="s">
        <v>16</v>
      </c>
      <c r="B8" s="4" t="s">
        <v>8</v>
      </c>
      <c r="C8" s="4" t="s">
        <v>12</v>
      </c>
      <c r="D8" s="4" t="s">
        <v>7</v>
      </c>
      <c r="E8" s="5">
        <v>0.9</v>
      </c>
      <c r="F8" s="1" t="s">
        <v>23</v>
      </c>
      <c r="G8" s="4" t="s">
        <v>48</v>
      </c>
    </row>
    <row r="9" spans="1:7" ht="75" x14ac:dyDescent="0.25">
      <c r="A9" s="4" t="s">
        <v>16</v>
      </c>
      <c r="B9" s="4" t="s">
        <v>9</v>
      </c>
      <c r="C9" s="4" t="s">
        <v>12</v>
      </c>
      <c r="D9" s="4" t="s">
        <v>7</v>
      </c>
      <c r="E9" s="5">
        <v>3</v>
      </c>
      <c r="F9" s="1" t="s">
        <v>28</v>
      </c>
      <c r="G9" s="4" t="s">
        <v>48</v>
      </c>
    </row>
    <row r="10" spans="1:7" ht="75" x14ac:dyDescent="0.25">
      <c r="A10" s="4" t="s">
        <v>16</v>
      </c>
      <c r="B10" s="4" t="s">
        <v>10</v>
      </c>
      <c r="C10" s="4" t="s">
        <v>12</v>
      </c>
      <c r="D10" s="4" t="s">
        <v>7</v>
      </c>
      <c r="E10" s="5">
        <v>4.5</v>
      </c>
      <c r="F10" s="1" t="s">
        <v>58</v>
      </c>
      <c r="G10" s="4" t="s">
        <v>48</v>
      </c>
    </row>
    <row r="11" spans="1:7" ht="75" x14ac:dyDescent="0.25">
      <c r="A11" s="4" t="s">
        <v>16</v>
      </c>
      <c r="B11" s="4" t="s">
        <v>11</v>
      </c>
      <c r="C11" s="4" t="s">
        <v>12</v>
      </c>
      <c r="D11" s="4" t="s">
        <v>7</v>
      </c>
      <c r="E11" s="5">
        <f>E10*11</f>
        <v>49.5</v>
      </c>
      <c r="F11" s="1" t="s">
        <v>59</v>
      </c>
      <c r="G11" s="4" t="s">
        <v>48</v>
      </c>
    </row>
    <row r="12" spans="1:7" ht="75" x14ac:dyDescent="0.25">
      <c r="A12" s="4" t="s">
        <v>17</v>
      </c>
      <c r="B12" s="4" t="s">
        <v>6</v>
      </c>
      <c r="C12" s="4" t="s">
        <v>13</v>
      </c>
      <c r="D12" s="4" t="s">
        <v>7</v>
      </c>
      <c r="E12" s="5">
        <v>1</v>
      </c>
      <c r="F12" s="1" t="s">
        <v>24</v>
      </c>
      <c r="G12" s="4" t="s">
        <v>49</v>
      </c>
    </row>
    <row r="13" spans="1:7" ht="75" x14ac:dyDescent="0.25">
      <c r="A13" s="4" t="s">
        <v>17</v>
      </c>
      <c r="B13" s="4" t="s">
        <v>8</v>
      </c>
      <c r="C13" s="4" t="s">
        <v>13</v>
      </c>
      <c r="D13" s="4" t="s">
        <v>7</v>
      </c>
      <c r="E13" s="5">
        <v>1.9</v>
      </c>
      <c r="F13" s="1" t="s">
        <v>25</v>
      </c>
      <c r="G13" s="4" t="s">
        <v>49</v>
      </c>
    </row>
    <row r="14" spans="1:7" ht="75" x14ac:dyDescent="0.25">
      <c r="A14" s="4" t="s">
        <v>17</v>
      </c>
      <c r="B14" s="4" t="s">
        <v>9</v>
      </c>
      <c r="C14" s="4" t="s">
        <v>13</v>
      </c>
      <c r="D14" s="4" t="s">
        <v>7</v>
      </c>
      <c r="E14" s="5">
        <v>4.1500000000000004</v>
      </c>
      <c r="F14" s="1" t="s">
        <v>26</v>
      </c>
      <c r="G14" s="4" t="s">
        <v>49</v>
      </c>
    </row>
    <row r="15" spans="1:7" ht="90" x14ac:dyDescent="0.25">
      <c r="A15" s="4" t="s">
        <v>17</v>
      </c>
      <c r="B15" s="4" t="s">
        <v>10</v>
      </c>
      <c r="C15" s="4" t="s">
        <v>13</v>
      </c>
      <c r="D15" s="4" t="s">
        <v>60</v>
      </c>
      <c r="E15" s="5">
        <v>5.9</v>
      </c>
      <c r="F15" s="1" t="s">
        <v>61</v>
      </c>
      <c r="G15" s="4" t="s">
        <v>49</v>
      </c>
    </row>
    <row r="16" spans="1:7" ht="75" x14ac:dyDescent="0.25">
      <c r="A16" s="4" t="s">
        <v>17</v>
      </c>
      <c r="B16" s="4" t="s">
        <v>11</v>
      </c>
      <c r="C16" s="4" t="s">
        <v>13</v>
      </c>
      <c r="D16" s="4" t="s">
        <v>60</v>
      </c>
      <c r="E16" s="5">
        <f>E15*11</f>
        <v>64.900000000000006</v>
      </c>
      <c r="F16" s="1" t="s">
        <v>62</v>
      </c>
      <c r="G16" s="4" t="s">
        <v>49</v>
      </c>
    </row>
    <row r="17" spans="1:7" ht="90" x14ac:dyDescent="0.25">
      <c r="A17" s="4" t="s">
        <v>17</v>
      </c>
      <c r="B17" s="4" t="s">
        <v>10</v>
      </c>
      <c r="C17" s="4" t="s">
        <v>13</v>
      </c>
      <c r="D17" s="4" t="s">
        <v>84</v>
      </c>
      <c r="E17" s="5">
        <v>8.5</v>
      </c>
      <c r="F17" s="1" t="s">
        <v>85</v>
      </c>
      <c r="G17" s="4" t="s">
        <v>49</v>
      </c>
    </row>
    <row r="18" spans="1:7" ht="75" x14ac:dyDescent="0.25">
      <c r="A18" s="4" t="s">
        <v>17</v>
      </c>
      <c r="B18" s="4" t="s">
        <v>11</v>
      </c>
      <c r="C18" s="4" t="s">
        <v>13</v>
      </c>
      <c r="D18" s="4" t="s">
        <v>84</v>
      </c>
      <c r="E18" s="5">
        <f>E17*11</f>
        <v>93.5</v>
      </c>
      <c r="F18" s="1" t="s">
        <v>86</v>
      </c>
      <c r="G18" s="4" t="s">
        <v>49</v>
      </c>
    </row>
    <row r="19" spans="1:7" ht="90" x14ac:dyDescent="0.25">
      <c r="A19" s="4" t="s">
        <v>17</v>
      </c>
      <c r="B19" s="4" t="s">
        <v>10</v>
      </c>
      <c r="C19" s="4" t="s">
        <v>13</v>
      </c>
      <c r="D19" s="4" t="s">
        <v>93</v>
      </c>
      <c r="E19" s="5">
        <v>11.2</v>
      </c>
      <c r="F19" s="1" t="s">
        <v>94</v>
      </c>
      <c r="G19" s="4" t="s">
        <v>49</v>
      </c>
    </row>
    <row r="20" spans="1:7" ht="75" x14ac:dyDescent="0.25">
      <c r="A20" s="4" t="s">
        <v>17</v>
      </c>
      <c r="B20" s="4" t="s">
        <v>11</v>
      </c>
      <c r="C20" s="4" t="s">
        <v>13</v>
      </c>
      <c r="D20" s="4" t="s">
        <v>93</v>
      </c>
      <c r="E20" s="5">
        <f>E19*11</f>
        <v>123.19999999999999</v>
      </c>
      <c r="F20" s="1" t="s">
        <v>95</v>
      </c>
      <c r="G20" s="4" t="s">
        <v>49</v>
      </c>
    </row>
    <row r="21" spans="1:7" ht="90" x14ac:dyDescent="0.25">
      <c r="A21" s="4" t="s">
        <v>17</v>
      </c>
      <c r="B21" s="4" t="s">
        <v>10</v>
      </c>
      <c r="C21" s="4" t="s">
        <v>13</v>
      </c>
      <c r="D21" s="4" t="s">
        <v>63</v>
      </c>
      <c r="E21" s="5">
        <v>15.4</v>
      </c>
      <c r="F21" s="1" t="s">
        <v>64</v>
      </c>
      <c r="G21" s="4" t="s">
        <v>49</v>
      </c>
    </row>
    <row r="22" spans="1:7" ht="75" x14ac:dyDescent="0.25">
      <c r="A22" s="4" t="s">
        <v>17</v>
      </c>
      <c r="B22" s="4" t="s">
        <v>11</v>
      </c>
      <c r="C22" s="4" t="s">
        <v>13</v>
      </c>
      <c r="D22" s="4" t="s">
        <v>63</v>
      </c>
      <c r="E22" s="5">
        <f>E21*11</f>
        <v>169.4</v>
      </c>
      <c r="F22" s="1" t="s">
        <v>65</v>
      </c>
      <c r="G22" s="4" t="s">
        <v>49</v>
      </c>
    </row>
    <row r="23" spans="1:7" ht="75" x14ac:dyDescent="0.25">
      <c r="A23" s="4" t="s">
        <v>17</v>
      </c>
      <c r="B23" s="4" t="s">
        <v>6</v>
      </c>
      <c r="C23" s="4" t="s">
        <v>12</v>
      </c>
      <c r="D23" s="4" t="s">
        <v>7</v>
      </c>
      <c r="E23" s="5">
        <v>0.6</v>
      </c>
      <c r="F23" s="1" t="s">
        <v>29</v>
      </c>
      <c r="G23" s="4" t="s">
        <v>50</v>
      </c>
    </row>
    <row r="24" spans="1:7" ht="75" x14ac:dyDescent="0.25">
      <c r="A24" s="4" t="s">
        <v>17</v>
      </c>
      <c r="B24" s="4" t="s">
        <v>8</v>
      </c>
      <c r="C24" s="4" t="s">
        <v>12</v>
      </c>
      <c r="D24" s="4" t="s">
        <v>7</v>
      </c>
      <c r="E24" s="5">
        <v>1.1000000000000001</v>
      </c>
      <c r="F24" s="1" t="s">
        <v>30</v>
      </c>
      <c r="G24" s="4" t="s">
        <v>50</v>
      </c>
    </row>
    <row r="25" spans="1:7" ht="75" x14ac:dyDescent="0.25">
      <c r="A25" s="4" t="s">
        <v>17</v>
      </c>
      <c r="B25" s="4" t="s">
        <v>9</v>
      </c>
      <c r="C25" s="4" t="s">
        <v>12</v>
      </c>
      <c r="D25" s="4" t="s">
        <v>7</v>
      </c>
      <c r="E25" s="5">
        <v>3.8</v>
      </c>
      <c r="F25" s="1" t="s">
        <v>31</v>
      </c>
      <c r="G25" s="4" t="s">
        <v>50</v>
      </c>
    </row>
    <row r="26" spans="1:7" ht="75" x14ac:dyDescent="0.25">
      <c r="A26" s="4" t="s">
        <v>17</v>
      </c>
      <c r="B26" s="4" t="s">
        <v>10</v>
      </c>
      <c r="C26" s="4" t="s">
        <v>12</v>
      </c>
      <c r="D26" s="4" t="s">
        <v>7</v>
      </c>
      <c r="E26" s="5">
        <v>5</v>
      </c>
      <c r="F26" s="1" t="s">
        <v>66</v>
      </c>
      <c r="G26" s="4" t="s">
        <v>50</v>
      </c>
    </row>
    <row r="27" spans="1:7" ht="75" x14ac:dyDescent="0.25">
      <c r="A27" s="4" t="s">
        <v>17</v>
      </c>
      <c r="B27" s="4" t="s">
        <v>11</v>
      </c>
      <c r="C27" s="4" t="s">
        <v>12</v>
      </c>
      <c r="D27" s="4" t="s">
        <v>7</v>
      </c>
      <c r="E27" s="5">
        <f>E26*11</f>
        <v>55</v>
      </c>
      <c r="F27" s="1" t="s">
        <v>67</v>
      </c>
      <c r="G27" s="4" t="s">
        <v>50</v>
      </c>
    </row>
    <row r="28" spans="1:7" ht="75" x14ac:dyDescent="0.25">
      <c r="A28" s="4" t="s">
        <v>17</v>
      </c>
      <c r="B28" s="4" t="s">
        <v>6</v>
      </c>
      <c r="C28" s="4" t="s">
        <v>14</v>
      </c>
      <c r="D28" s="4" t="s">
        <v>7</v>
      </c>
      <c r="E28" s="5">
        <v>1.1499999999999999</v>
      </c>
      <c r="F28" s="1" t="s">
        <v>32</v>
      </c>
      <c r="G28" s="4" t="s">
        <v>51</v>
      </c>
    </row>
    <row r="29" spans="1:7" ht="75" x14ac:dyDescent="0.25">
      <c r="A29" s="4" t="s">
        <v>17</v>
      </c>
      <c r="B29" s="4" t="s">
        <v>8</v>
      </c>
      <c r="C29" s="4" t="s">
        <v>14</v>
      </c>
      <c r="D29" s="4" t="s">
        <v>7</v>
      </c>
      <c r="E29" s="5">
        <v>2.2000000000000002</v>
      </c>
      <c r="F29" s="1" t="s">
        <v>33</v>
      </c>
      <c r="G29" s="4" t="s">
        <v>51</v>
      </c>
    </row>
    <row r="30" spans="1:7" ht="75" x14ac:dyDescent="0.25">
      <c r="A30" s="4" t="s">
        <v>17</v>
      </c>
      <c r="B30" s="4" t="s">
        <v>9</v>
      </c>
      <c r="C30" s="4" t="s">
        <v>14</v>
      </c>
      <c r="D30" s="4" t="s">
        <v>7</v>
      </c>
      <c r="E30" s="5">
        <v>4.5</v>
      </c>
      <c r="F30" s="1" t="s">
        <v>34</v>
      </c>
      <c r="G30" s="4" t="s">
        <v>51</v>
      </c>
    </row>
    <row r="31" spans="1:7" ht="75" x14ac:dyDescent="0.25">
      <c r="A31" s="4" t="s">
        <v>17</v>
      </c>
      <c r="B31" s="4" t="s">
        <v>10</v>
      </c>
      <c r="C31" s="4" t="s">
        <v>14</v>
      </c>
      <c r="D31" s="4" t="s">
        <v>60</v>
      </c>
      <c r="E31" s="5">
        <v>6.1</v>
      </c>
      <c r="F31" s="1" t="s">
        <v>68</v>
      </c>
      <c r="G31" s="4" t="s">
        <v>51</v>
      </c>
    </row>
    <row r="32" spans="1:7" ht="75" x14ac:dyDescent="0.25">
      <c r="A32" s="4" t="s">
        <v>17</v>
      </c>
      <c r="B32" s="4" t="s">
        <v>11</v>
      </c>
      <c r="C32" s="4" t="s">
        <v>14</v>
      </c>
      <c r="D32" s="4" t="s">
        <v>102</v>
      </c>
      <c r="E32" s="5">
        <f>E31*11</f>
        <v>67.099999999999994</v>
      </c>
      <c r="F32" s="1" t="s">
        <v>69</v>
      </c>
      <c r="G32" s="4" t="s">
        <v>51</v>
      </c>
    </row>
    <row r="33" spans="1:7" ht="75" x14ac:dyDescent="0.25">
      <c r="A33" s="4" t="s">
        <v>17</v>
      </c>
      <c r="B33" s="4" t="s">
        <v>10</v>
      </c>
      <c r="C33" s="4" t="s">
        <v>14</v>
      </c>
      <c r="D33" s="4" t="s">
        <v>103</v>
      </c>
      <c r="E33" s="5">
        <v>10.7</v>
      </c>
      <c r="F33" s="1" t="s">
        <v>87</v>
      </c>
      <c r="G33" s="4" t="s">
        <v>51</v>
      </c>
    </row>
    <row r="34" spans="1:7" ht="75" x14ac:dyDescent="0.25">
      <c r="A34" s="4" t="s">
        <v>17</v>
      </c>
      <c r="B34" s="4" t="s">
        <v>11</v>
      </c>
      <c r="C34" s="4" t="s">
        <v>14</v>
      </c>
      <c r="D34" s="4" t="s">
        <v>103</v>
      </c>
      <c r="E34" s="5">
        <f>E33*11</f>
        <v>117.69999999999999</v>
      </c>
      <c r="F34" s="1" t="s">
        <v>88</v>
      </c>
      <c r="G34" s="4" t="s">
        <v>51</v>
      </c>
    </row>
    <row r="35" spans="1:7" ht="75" x14ac:dyDescent="0.25">
      <c r="A35" s="4" t="s">
        <v>17</v>
      </c>
      <c r="B35" s="4" t="s">
        <v>10</v>
      </c>
      <c r="C35" s="4" t="s">
        <v>14</v>
      </c>
      <c r="D35" s="4" t="s">
        <v>93</v>
      </c>
      <c r="E35" s="5">
        <v>15.05</v>
      </c>
      <c r="F35" s="1" t="s">
        <v>96</v>
      </c>
      <c r="G35" s="4" t="s">
        <v>51</v>
      </c>
    </row>
    <row r="36" spans="1:7" ht="75" x14ac:dyDescent="0.25">
      <c r="A36" s="4" t="s">
        <v>17</v>
      </c>
      <c r="B36" s="4" t="s">
        <v>11</v>
      </c>
      <c r="C36" s="4" t="s">
        <v>14</v>
      </c>
      <c r="D36" s="4" t="s">
        <v>93</v>
      </c>
      <c r="E36" s="5">
        <f>E35*11</f>
        <v>165.55</v>
      </c>
      <c r="F36" s="1" t="s">
        <v>97</v>
      </c>
      <c r="G36" s="4" t="s">
        <v>51</v>
      </c>
    </row>
    <row r="37" spans="1:7" ht="75" x14ac:dyDescent="0.25">
      <c r="A37" s="4" t="s">
        <v>17</v>
      </c>
      <c r="B37" s="4" t="s">
        <v>10</v>
      </c>
      <c r="C37" s="4" t="s">
        <v>14</v>
      </c>
      <c r="D37" s="4" t="s">
        <v>63</v>
      </c>
      <c r="E37" s="5">
        <v>18.149999999999999</v>
      </c>
      <c r="F37" s="1" t="s">
        <v>70</v>
      </c>
      <c r="G37" s="4" t="s">
        <v>51</v>
      </c>
    </row>
    <row r="38" spans="1:7" ht="75" x14ac:dyDescent="0.25">
      <c r="A38" s="4" t="s">
        <v>17</v>
      </c>
      <c r="B38" s="4" t="s">
        <v>11</v>
      </c>
      <c r="C38" s="4" t="s">
        <v>14</v>
      </c>
      <c r="D38" s="4" t="s">
        <v>63</v>
      </c>
      <c r="E38" s="5">
        <f>E37*11</f>
        <v>199.64999999999998</v>
      </c>
      <c r="F38" s="1" t="s">
        <v>71</v>
      </c>
      <c r="G38" s="4" t="s">
        <v>51</v>
      </c>
    </row>
    <row r="39" spans="1:7" ht="75" x14ac:dyDescent="0.25">
      <c r="A39" s="4" t="s">
        <v>18</v>
      </c>
      <c r="B39" s="4" t="s">
        <v>6</v>
      </c>
      <c r="C39" s="4" t="s">
        <v>14</v>
      </c>
      <c r="D39" s="4" t="s">
        <v>7</v>
      </c>
      <c r="E39" s="5">
        <v>1.5</v>
      </c>
      <c r="F39" s="1" t="s">
        <v>35</v>
      </c>
      <c r="G39" s="4" t="s">
        <v>52</v>
      </c>
    </row>
    <row r="40" spans="1:7" ht="75" x14ac:dyDescent="0.25">
      <c r="A40" s="4" t="s">
        <v>18</v>
      </c>
      <c r="B40" s="4" t="s">
        <v>8</v>
      </c>
      <c r="C40" s="4" t="s">
        <v>14</v>
      </c>
      <c r="D40" s="4" t="s">
        <v>7</v>
      </c>
      <c r="E40" s="5">
        <v>2.9</v>
      </c>
      <c r="F40" s="1" t="s">
        <v>36</v>
      </c>
      <c r="G40" s="4" t="s">
        <v>52</v>
      </c>
    </row>
    <row r="41" spans="1:7" ht="75" x14ac:dyDescent="0.25">
      <c r="A41" s="4" t="s">
        <v>18</v>
      </c>
      <c r="B41" s="4" t="s">
        <v>9</v>
      </c>
      <c r="C41" s="4" t="s">
        <v>14</v>
      </c>
      <c r="D41" s="4" t="s">
        <v>7</v>
      </c>
      <c r="E41" s="5">
        <v>5.05</v>
      </c>
      <c r="F41" s="1" t="s">
        <v>37</v>
      </c>
      <c r="G41" s="4" t="s">
        <v>52</v>
      </c>
    </row>
    <row r="42" spans="1:7" ht="75" x14ac:dyDescent="0.25">
      <c r="A42" s="4" t="s">
        <v>18</v>
      </c>
      <c r="B42" s="4" t="s">
        <v>10</v>
      </c>
      <c r="C42" s="4" t="s">
        <v>14</v>
      </c>
      <c r="D42" s="4" t="s">
        <v>60</v>
      </c>
      <c r="E42" s="5">
        <v>8</v>
      </c>
      <c r="F42" s="1" t="s">
        <v>72</v>
      </c>
      <c r="G42" s="4" t="s">
        <v>52</v>
      </c>
    </row>
    <row r="43" spans="1:7" ht="75" x14ac:dyDescent="0.25">
      <c r="A43" s="4" t="s">
        <v>18</v>
      </c>
      <c r="B43" s="4" t="s">
        <v>11</v>
      </c>
      <c r="C43" s="4" t="s">
        <v>14</v>
      </c>
      <c r="D43" s="4" t="s">
        <v>60</v>
      </c>
      <c r="E43" s="5">
        <f>E42*11</f>
        <v>88</v>
      </c>
      <c r="F43" s="1" t="s">
        <v>73</v>
      </c>
      <c r="G43" s="4" t="s">
        <v>52</v>
      </c>
    </row>
    <row r="44" spans="1:7" ht="75" x14ac:dyDescent="0.25">
      <c r="A44" s="4" t="s">
        <v>18</v>
      </c>
      <c r="B44" s="4" t="s">
        <v>10</v>
      </c>
      <c r="C44" s="4" t="s">
        <v>14</v>
      </c>
      <c r="D44" s="4" t="s">
        <v>84</v>
      </c>
      <c r="E44" s="5">
        <v>13.3</v>
      </c>
      <c r="F44" s="1" t="s">
        <v>89</v>
      </c>
      <c r="G44" s="4" t="s">
        <v>52</v>
      </c>
    </row>
    <row r="45" spans="1:7" ht="75" x14ac:dyDescent="0.25">
      <c r="A45" s="4" t="s">
        <v>18</v>
      </c>
      <c r="B45" s="4" t="s">
        <v>11</v>
      </c>
      <c r="C45" s="4" t="s">
        <v>14</v>
      </c>
      <c r="D45" s="4" t="s">
        <v>84</v>
      </c>
      <c r="E45" s="5">
        <f>E44*11</f>
        <v>146.30000000000001</v>
      </c>
      <c r="F45" s="1" t="s">
        <v>90</v>
      </c>
      <c r="G45" s="4" t="s">
        <v>52</v>
      </c>
    </row>
    <row r="46" spans="1:7" ht="75" x14ac:dyDescent="0.25">
      <c r="A46" s="4" t="s">
        <v>18</v>
      </c>
      <c r="B46" s="4" t="s">
        <v>10</v>
      </c>
      <c r="C46" s="4" t="s">
        <v>14</v>
      </c>
      <c r="D46" s="4" t="s">
        <v>93</v>
      </c>
      <c r="E46" s="5">
        <v>19.5</v>
      </c>
      <c r="F46" s="1" t="s">
        <v>98</v>
      </c>
      <c r="G46" s="4" t="s">
        <v>52</v>
      </c>
    </row>
    <row r="47" spans="1:7" ht="75" x14ac:dyDescent="0.25">
      <c r="A47" s="4" t="s">
        <v>18</v>
      </c>
      <c r="B47" s="4" t="s">
        <v>11</v>
      </c>
      <c r="C47" s="4" t="s">
        <v>14</v>
      </c>
      <c r="D47" s="4" t="s">
        <v>93</v>
      </c>
      <c r="E47" s="5">
        <f>E46*11</f>
        <v>214.5</v>
      </c>
      <c r="F47" s="1" t="s">
        <v>99</v>
      </c>
      <c r="G47" s="4" t="s">
        <v>52</v>
      </c>
    </row>
    <row r="48" spans="1:7" ht="75" x14ac:dyDescent="0.25">
      <c r="A48" s="4" t="s">
        <v>18</v>
      </c>
      <c r="B48" s="4" t="s">
        <v>10</v>
      </c>
      <c r="C48" s="4" t="s">
        <v>14</v>
      </c>
      <c r="D48" s="4" t="s">
        <v>63</v>
      </c>
      <c r="E48" s="5">
        <v>25</v>
      </c>
      <c r="F48" s="1" t="s">
        <v>74</v>
      </c>
      <c r="G48" s="4" t="s">
        <v>52</v>
      </c>
    </row>
    <row r="49" spans="1:7" ht="75" x14ac:dyDescent="0.25">
      <c r="A49" s="4" t="s">
        <v>18</v>
      </c>
      <c r="B49" s="4" t="s">
        <v>11</v>
      </c>
      <c r="C49" s="4" t="s">
        <v>14</v>
      </c>
      <c r="D49" s="4" t="s">
        <v>63</v>
      </c>
      <c r="E49" s="5">
        <f>E48*11</f>
        <v>275</v>
      </c>
      <c r="F49" s="1" t="s">
        <v>75</v>
      </c>
      <c r="G49" s="4" t="s">
        <v>52</v>
      </c>
    </row>
    <row r="50" spans="1:7" ht="75" x14ac:dyDescent="0.25">
      <c r="A50" s="4" t="s">
        <v>18</v>
      </c>
      <c r="B50" s="4" t="s">
        <v>6</v>
      </c>
      <c r="C50" s="4" t="s">
        <v>12</v>
      </c>
      <c r="D50" s="4" t="s">
        <v>7</v>
      </c>
      <c r="E50" s="5">
        <v>0.8</v>
      </c>
      <c r="F50" s="1" t="s">
        <v>46</v>
      </c>
      <c r="G50" s="4" t="s">
        <v>53</v>
      </c>
    </row>
    <row r="51" spans="1:7" ht="75" x14ac:dyDescent="0.25">
      <c r="A51" s="4" t="s">
        <v>18</v>
      </c>
      <c r="B51" s="4" t="s">
        <v>8</v>
      </c>
      <c r="C51" s="4" t="s">
        <v>12</v>
      </c>
      <c r="D51" s="4" t="s">
        <v>7</v>
      </c>
      <c r="E51" s="5">
        <v>1.5</v>
      </c>
      <c r="F51" s="1" t="s">
        <v>45</v>
      </c>
      <c r="G51" s="4" t="s">
        <v>53</v>
      </c>
    </row>
    <row r="52" spans="1:7" ht="75" x14ac:dyDescent="0.25">
      <c r="A52" s="4" t="s">
        <v>18</v>
      </c>
      <c r="B52" s="4" t="s">
        <v>9</v>
      </c>
      <c r="C52" s="4" t="s">
        <v>12</v>
      </c>
      <c r="D52" s="4" t="s">
        <v>7</v>
      </c>
      <c r="E52" s="5">
        <v>4.1500000000000004</v>
      </c>
      <c r="F52" s="1" t="s">
        <v>44</v>
      </c>
      <c r="G52" s="4" t="s">
        <v>53</v>
      </c>
    </row>
    <row r="53" spans="1:7" ht="75" x14ac:dyDescent="0.25">
      <c r="A53" s="4" t="s">
        <v>18</v>
      </c>
      <c r="B53" s="4" t="s">
        <v>10</v>
      </c>
      <c r="C53" s="4" t="s">
        <v>12</v>
      </c>
      <c r="D53" s="4" t="s">
        <v>7</v>
      </c>
      <c r="E53" s="5">
        <v>6.5</v>
      </c>
      <c r="F53" s="1" t="s">
        <v>76</v>
      </c>
      <c r="G53" s="4" t="s">
        <v>53</v>
      </c>
    </row>
    <row r="54" spans="1:7" ht="75" x14ac:dyDescent="0.25">
      <c r="A54" s="4" t="s">
        <v>18</v>
      </c>
      <c r="B54" s="4" t="s">
        <v>11</v>
      </c>
      <c r="C54" s="4" t="s">
        <v>12</v>
      </c>
      <c r="D54" s="4" t="s">
        <v>7</v>
      </c>
      <c r="E54" s="5">
        <f>E53*11</f>
        <v>71.5</v>
      </c>
      <c r="F54" s="1" t="s">
        <v>77</v>
      </c>
      <c r="G54" s="4" t="s">
        <v>53</v>
      </c>
    </row>
    <row r="55" spans="1:7" ht="75" x14ac:dyDescent="0.25">
      <c r="A55" s="4" t="s">
        <v>19</v>
      </c>
      <c r="B55" s="4" t="s">
        <v>6</v>
      </c>
      <c r="C55" s="4" t="s">
        <v>14</v>
      </c>
      <c r="D55" s="4" t="s">
        <v>7</v>
      </c>
      <c r="E55" s="5">
        <v>1.1000000000000001</v>
      </c>
      <c r="F55" s="1" t="s">
        <v>43</v>
      </c>
      <c r="G55" s="4" t="s">
        <v>54</v>
      </c>
    </row>
    <row r="56" spans="1:7" ht="75" x14ac:dyDescent="0.25">
      <c r="A56" s="4" t="s">
        <v>19</v>
      </c>
      <c r="B56" s="4" t="s">
        <v>8</v>
      </c>
      <c r="C56" s="4" t="s">
        <v>14</v>
      </c>
      <c r="D56" s="4" t="s">
        <v>7</v>
      </c>
      <c r="E56" s="5">
        <v>2.1</v>
      </c>
      <c r="F56" s="1" t="s">
        <v>38</v>
      </c>
      <c r="G56" s="4" t="s">
        <v>54</v>
      </c>
    </row>
    <row r="57" spans="1:7" ht="75" x14ac:dyDescent="0.25">
      <c r="A57" s="4" t="s">
        <v>19</v>
      </c>
      <c r="B57" s="4" t="s">
        <v>9</v>
      </c>
      <c r="C57" s="4" t="s">
        <v>14</v>
      </c>
      <c r="D57" s="4" t="s">
        <v>7</v>
      </c>
      <c r="E57" s="5">
        <v>4.95</v>
      </c>
      <c r="F57" s="1" t="s">
        <v>42</v>
      </c>
      <c r="G57" s="4" t="s">
        <v>54</v>
      </c>
    </row>
    <row r="58" spans="1:7" ht="75" x14ac:dyDescent="0.25">
      <c r="A58" s="4" t="s">
        <v>19</v>
      </c>
      <c r="B58" s="4" t="s">
        <v>10</v>
      </c>
      <c r="C58" s="4" t="s">
        <v>14</v>
      </c>
      <c r="D58" s="4" t="s">
        <v>60</v>
      </c>
      <c r="E58" s="5">
        <v>7.45</v>
      </c>
      <c r="F58" s="1" t="s">
        <v>78</v>
      </c>
      <c r="G58" s="4" t="s">
        <v>54</v>
      </c>
    </row>
    <row r="59" spans="1:7" ht="75" x14ac:dyDescent="0.25">
      <c r="A59" s="4" t="s">
        <v>19</v>
      </c>
      <c r="B59" s="4" t="s">
        <v>11</v>
      </c>
      <c r="C59" s="4" t="s">
        <v>14</v>
      </c>
      <c r="D59" s="4" t="s">
        <v>60</v>
      </c>
      <c r="E59" s="5">
        <f>E58*11</f>
        <v>81.95</v>
      </c>
      <c r="F59" s="1" t="s">
        <v>79</v>
      </c>
      <c r="G59" s="4" t="s">
        <v>54</v>
      </c>
    </row>
    <row r="60" spans="1:7" ht="75" x14ac:dyDescent="0.25">
      <c r="A60" s="4" t="s">
        <v>19</v>
      </c>
      <c r="B60" s="4" t="s">
        <v>10</v>
      </c>
      <c r="C60" s="4" t="s">
        <v>14</v>
      </c>
      <c r="D60" s="4" t="s">
        <v>84</v>
      </c>
      <c r="E60" s="5">
        <v>12.8</v>
      </c>
      <c r="F60" s="1" t="s">
        <v>91</v>
      </c>
      <c r="G60" s="4" t="s">
        <v>54</v>
      </c>
    </row>
    <row r="61" spans="1:7" ht="75" x14ac:dyDescent="0.25">
      <c r="A61" s="4" t="s">
        <v>19</v>
      </c>
      <c r="B61" s="4" t="s">
        <v>11</v>
      </c>
      <c r="C61" s="4" t="s">
        <v>14</v>
      </c>
      <c r="D61" s="4" t="s">
        <v>84</v>
      </c>
      <c r="E61" s="5">
        <f>E60*11</f>
        <v>140.80000000000001</v>
      </c>
      <c r="F61" s="1" t="s">
        <v>92</v>
      </c>
      <c r="G61" s="4" t="s">
        <v>54</v>
      </c>
    </row>
    <row r="62" spans="1:7" ht="75" x14ac:dyDescent="0.25">
      <c r="A62" s="4" t="s">
        <v>19</v>
      </c>
      <c r="B62" s="4" t="s">
        <v>10</v>
      </c>
      <c r="C62" s="4" t="s">
        <v>14</v>
      </c>
      <c r="D62" s="4" t="s">
        <v>93</v>
      </c>
      <c r="E62" s="5">
        <v>18.100000000000001</v>
      </c>
      <c r="F62" s="1" t="s">
        <v>100</v>
      </c>
      <c r="G62" s="4" t="s">
        <v>54</v>
      </c>
    </row>
    <row r="63" spans="1:7" ht="75" x14ac:dyDescent="0.25">
      <c r="A63" s="4" t="s">
        <v>19</v>
      </c>
      <c r="B63" s="4" t="s">
        <v>11</v>
      </c>
      <c r="C63" s="4" t="s">
        <v>14</v>
      </c>
      <c r="D63" s="4" t="s">
        <v>93</v>
      </c>
      <c r="E63" s="5">
        <f>E62*11</f>
        <v>199.10000000000002</v>
      </c>
      <c r="F63" s="1" t="s">
        <v>101</v>
      </c>
      <c r="G63" s="4" t="s">
        <v>54</v>
      </c>
    </row>
    <row r="64" spans="1:7" ht="75" x14ac:dyDescent="0.25">
      <c r="A64" s="4" t="s">
        <v>19</v>
      </c>
      <c r="B64" s="4" t="s">
        <v>10</v>
      </c>
      <c r="C64" s="4" t="s">
        <v>14</v>
      </c>
      <c r="D64" s="4" t="s">
        <v>63</v>
      </c>
      <c r="E64" s="5">
        <v>23</v>
      </c>
      <c r="F64" s="1" t="s">
        <v>80</v>
      </c>
      <c r="G64" s="4" t="s">
        <v>54</v>
      </c>
    </row>
    <row r="65" spans="1:7" ht="75" x14ac:dyDescent="0.25">
      <c r="A65" s="4" t="s">
        <v>19</v>
      </c>
      <c r="B65" s="4" t="s">
        <v>11</v>
      </c>
      <c r="C65" s="4" t="s">
        <v>14</v>
      </c>
      <c r="D65" s="4" t="s">
        <v>63</v>
      </c>
      <c r="E65" s="5">
        <f>E64*11</f>
        <v>253</v>
      </c>
      <c r="F65" s="1" t="s">
        <v>81</v>
      </c>
      <c r="G65" s="4" t="s">
        <v>54</v>
      </c>
    </row>
    <row r="66" spans="1:7" ht="75" x14ac:dyDescent="0.25">
      <c r="A66" s="4" t="s">
        <v>19</v>
      </c>
      <c r="B66" s="4" t="s">
        <v>6</v>
      </c>
      <c r="C66" s="4" t="s">
        <v>12</v>
      </c>
      <c r="D66" s="4" t="s">
        <v>7</v>
      </c>
      <c r="E66" s="5">
        <v>0.7</v>
      </c>
      <c r="F66" s="1" t="s">
        <v>41</v>
      </c>
      <c r="G66" s="4" t="s">
        <v>55</v>
      </c>
    </row>
    <row r="67" spans="1:7" ht="75" x14ac:dyDescent="0.25">
      <c r="A67" s="4" t="s">
        <v>19</v>
      </c>
      <c r="B67" s="4" t="s">
        <v>8</v>
      </c>
      <c r="C67" s="4" t="s">
        <v>12</v>
      </c>
      <c r="D67" s="4" t="s">
        <v>7</v>
      </c>
      <c r="E67" s="5">
        <v>1.3</v>
      </c>
      <c r="F67" s="1" t="s">
        <v>40</v>
      </c>
      <c r="G67" s="4" t="s">
        <v>55</v>
      </c>
    </row>
    <row r="68" spans="1:7" ht="75" x14ac:dyDescent="0.25">
      <c r="A68" s="4" t="s">
        <v>19</v>
      </c>
      <c r="B68" s="4" t="s">
        <v>9</v>
      </c>
      <c r="C68" s="4" t="s">
        <v>12</v>
      </c>
      <c r="D68" s="4" t="s">
        <v>7</v>
      </c>
      <c r="E68" s="5">
        <v>4</v>
      </c>
      <c r="F68" s="1" t="s">
        <v>39</v>
      </c>
      <c r="G68" s="4" t="s">
        <v>55</v>
      </c>
    </row>
    <row r="69" spans="1:7" ht="75" x14ac:dyDescent="0.25">
      <c r="A69" s="4" t="s">
        <v>19</v>
      </c>
      <c r="B69" s="4" t="s">
        <v>10</v>
      </c>
      <c r="C69" s="4" t="s">
        <v>12</v>
      </c>
      <c r="D69" s="4" t="s">
        <v>7</v>
      </c>
      <c r="E69" s="5">
        <v>6</v>
      </c>
      <c r="F69" s="1" t="s">
        <v>82</v>
      </c>
      <c r="G69" s="4" t="s">
        <v>55</v>
      </c>
    </row>
    <row r="70" spans="1:7" ht="75" x14ac:dyDescent="0.25">
      <c r="A70" s="4" t="s">
        <v>19</v>
      </c>
      <c r="B70" s="4" t="s">
        <v>11</v>
      </c>
      <c r="C70" s="4" t="s">
        <v>12</v>
      </c>
      <c r="D70" s="4" t="s">
        <v>7</v>
      </c>
      <c r="E70" s="5">
        <f>E69*11</f>
        <v>66</v>
      </c>
      <c r="F70" s="1" t="s">
        <v>83</v>
      </c>
      <c r="G70" s="4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2024-04-20T21:07:45Z</dcterms:modified>
</cp:coreProperties>
</file>